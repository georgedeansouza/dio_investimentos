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alo\OneDrive\Área de Trabalho\curso dio\"/>
    </mc:Choice>
  </mc:AlternateContent>
  <bookViews>
    <workbookView xWindow="0" yWindow="0" windowWidth="24000" windowHeight="9510"/>
  </bookViews>
  <sheets>
    <sheet name="Planilha1" sheetId="1" r:id="rId1"/>
    <sheet name="Planilha2" sheetId="2" r:id="rId2"/>
  </sheets>
  <definedNames>
    <definedName name="dividendos">Planilha1!$D$21</definedName>
    <definedName name="investimento_inicial">Planilha1!$D$17</definedName>
    <definedName name="periodo">Planilha1!$D$18</definedName>
    <definedName name="período">Planilha1!$D$18</definedName>
    <definedName name="rendimento_carteira">Planilha1!$D$13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" i="1" l="1"/>
  <c r="C36" i="1" s="1"/>
  <c r="A37" i="1"/>
  <c r="C37" i="1" s="1"/>
  <c r="A38" i="1"/>
  <c r="C38" i="1" s="1"/>
  <c r="A39" i="1"/>
  <c r="C39" i="1" s="1"/>
  <c r="A40" i="1"/>
  <c r="D40" i="1" s="1"/>
  <c r="A35" i="1"/>
  <c r="C35" i="1" s="1"/>
  <c r="C32" i="1"/>
  <c r="D14" i="1"/>
  <c r="C28" i="1"/>
  <c r="D28" i="1" s="1"/>
  <c r="C27" i="1"/>
  <c r="D27" i="1" s="1"/>
  <c r="C26" i="1"/>
  <c r="D26" i="1" s="1"/>
  <c r="C25" i="1"/>
  <c r="D25" i="1" s="1"/>
  <c r="C24" i="1"/>
  <c r="D24" i="1" s="1"/>
  <c r="D20" i="1"/>
  <c r="D21" i="1" s="1"/>
  <c r="C40" i="1" l="1"/>
  <c r="D38" i="1"/>
  <c r="D35" i="1"/>
  <c r="D37" i="1"/>
  <c r="D36" i="1"/>
  <c r="D39" i="1"/>
  <c r="D41" i="1" l="1"/>
</calcChain>
</file>

<file path=xl/sharedStrings.xml><?xml version="1.0" encoding="utf-8"?>
<sst xmlns="http://schemas.openxmlformats.org/spreadsheetml/2006/main" count="87" uniqueCount="51">
  <si>
    <t>Quanto investir por mês?</t>
  </si>
  <si>
    <t>Por quantos anos?</t>
  </si>
  <si>
    <t>Taxa de rendimento anual?</t>
  </si>
  <si>
    <t>Quanto de patrimônio acumulado?</t>
  </si>
  <si>
    <t>Dividendos mensais?</t>
  </si>
  <si>
    <t>INVESTIMENTO MENSAL</t>
  </si>
  <si>
    <t>Quanto em 2 Anos</t>
  </si>
  <si>
    <t>Quanto em 5 Anos</t>
  </si>
  <si>
    <t>Quanto em 10 Anos</t>
  </si>
  <si>
    <t>Quanto em 20 Anos</t>
  </si>
  <si>
    <t>Cenários</t>
  </si>
  <si>
    <t>Quanto em 30 Anos</t>
  </si>
  <si>
    <t>Dividendos</t>
  </si>
  <si>
    <t>CONFIGURAÇÕES</t>
  </si>
  <si>
    <t>Salário</t>
  </si>
  <si>
    <t>Rendimento Carteira</t>
  </si>
  <si>
    <t>Sugestão de invesntimento</t>
  </si>
  <si>
    <t>PERFIL</t>
  </si>
  <si>
    <t>valor a ser investido por mês</t>
  </si>
  <si>
    <t>AGRESSIVO</t>
  </si>
  <si>
    <t>TIPO DE FIL</t>
  </si>
  <si>
    <t>PERCENTUAL SUGERIDO</t>
  </si>
  <si>
    <t>VALORES</t>
  </si>
  <si>
    <t>PAPEL</t>
  </si>
  <si>
    <t>TIJOLO</t>
  </si>
  <si>
    <t>HIBRIDOS</t>
  </si>
  <si>
    <t>FOPS</t>
  </si>
  <si>
    <t>DESENVOLVIMENTO</t>
  </si>
  <si>
    <t>HOTELARIAS</t>
  </si>
  <si>
    <t>CONSERVADOR</t>
  </si>
  <si>
    <t>%</t>
  </si>
  <si>
    <t>CHAVE</t>
  </si>
  <si>
    <t>CONSERVADOR-PAPEL</t>
  </si>
  <si>
    <t>CONSERVADOR-TIJOLO</t>
  </si>
  <si>
    <t>CONSERVADOR-HIBRIDOS</t>
  </si>
  <si>
    <t>CONSERVADOR-FOPS</t>
  </si>
  <si>
    <t>CONSERVADOR-DESENVOLVIMENTO</t>
  </si>
  <si>
    <t>CONSERVADOR-HOTELARIAS</t>
  </si>
  <si>
    <t>MODERADO</t>
  </si>
  <si>
    <t>MODERADO-PAPEL</t>
  </si>
  <si>
    <t>MODERADO-TIJOLO</t>
  </si>
  <si>
    <t>MODERADO-HIBRIDOS</t>
  </si>
  <si>
    <t>MODERADO-FOPS</t>
  </si>
  <si>
    <t>MODERADO-DESENVOLVIMENTO</t>
  </si>
  <si>
    <t>MODERADO-HOTELARIAS</t>
  </si>
  <si>
    <t>AGRESSIVO-PAPEL</t>
  </si>
  <si>
    <t>AGRESSIVO-TIJOLO</t>
  </si>
  <si>
    <t>AGRESSIVO-HIBRIDOS</t>
  </si>
  <si>
    <t>AGRESSIVO-FOPS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</si>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</sst>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9" fontId="0" fillId="0" borderId="8" xfId="1" applyNumberFormat="1" applyFont="1" applyBorder="1" applyAlignment="1">
      <alignment horizontal="center"/>
    </xf>
    <xf numFmtId="169" fontId="0" fillId="0" borderId="8" xfId="1" applyNumberFormat="1" applyFont="1" applyBorder="1" applyAlignment="1">
      <alignment horizontal="left"/>
    </xf>
    <xf numFmtId="169" fontId="0" fillId="0" borderId="9" xfId="1" applyNumberFormat="1" applyFont="1" applyBorder="1" applyAlignment="1">
      <alignment horizontal="left"/>
    </xf>
    <xf numFmtId="169" fontId="0" fillId="0" borderId="10" xfId="1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8" fontId="0" fillId="3" borderId="12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4" borderId="1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" borderId="3" xfId="0" applyFill="1" applyBorder="1"/>
    <xf numFmtId="8" fontId="0" fillId="3" borderId="0" xfId="0" applyNumberFormat="1" applyFill="1" applyBorder="1"/>
    <xf numFmtId="8" fontId="0" fillId="3" borderId="4" xfId="0" applyNumberFormat="1" applyFill="1" applyBorder="1"/>
    <xf numFmtId="0" fontId="0" fillId="3" borderId="5" xfId="0" applyFill="1" applyBorder="1"/>
    <xf numFmtId="8" fontId="0" fillId="3" borderId="7" xfId="0" applyNumberFormat="1" applyFill="1" applyBorder="1"/>
    <xf numFmtId="8" fontId="0" fillId="3" borderId="6" xfId="0" applyNumberFormat="1" applyFill="1" applyBorder="1"/>
    <xf numFmtId="0" fontId="4" fillId="2" borderId="1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0" xfId="0" applyFont="1"/>
    <xf numFmtId="0" fontId="0" fillId="4" borderId="0" xfId="0" applyFill="1"/>
    <xf numFmtId="169" fontId="2" fillId="0" borderId="0" xfId="1" applyNumberFormat="1" applyFont="1" applyAlignment="1">
      <alignment horizontal="left"/>
    </xf>
    <xf numFmtId="0" fontId="7" fillId="4" borderId="0" xfId="0" applyFont="1" applyFill="1" applyBorder="1"/>
    <xf numFmtId="0" fontId="7" fillId="4" borderId="0" xfId="0" applyFont="1" applyFill="1"/>
    <xf numFmtId="169" fontId="0" fillId="0" borderId="0" xfId="0" applyNumberFormat="1"/>
    <xf numFmtId="0" fontId="7" fillId="5" borderId="0" xfId="0" applyFont="1" applyFill="1"/>
    <xf numFmtId="169" fontId="7" fillId="5" borderId="0" xfId="0" applyNumberFormat="1" applyFont="1" applyFill="1"/>
    <xf numFmtId="0" fontId="2" fillId="5" borderId="0" xfId="0" applyFont="1" applyFill="1" applyAlignment="1">
      <alignment horizontal="center"/>
    </xf>
    <xf numFmtId="9" fontId="0" fillId="0" borderId="0" xfId="2" applyFont="1"/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7" xfId="2" applyFont="1" applyBorder="1"/>
    <xf numFmtId="9" fontId="0" fillId="0" borderId="0" xfId="2" applyFont="1" applyFill="1" applyBorder="1"/>
    <xf numFmtId="9" fontId="0" fillId="0" borderId="0" xfId="2" applyFont="1" applyAlignment="1">
      <alignment horizontal="center"/>
    </xf>
    <xf numFmtId="9" fontId="3" fillId="0" borderId="0" xfId="0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FOPS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C-4F2F-AE92-EF5936CF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28575</xdr:colOff>
      <xdr:row>9</xdr:row>
      <xdr:rowOff>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939" b="10904"/>
        <a:stretch/>
      </xdr:blipFill>
      <xdr:spPr>
        <a:xfrm>
          <a:off x="0" y="0"/>
          <a:ext cx="7058025" cy="1714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133350</xdr:rowOff>
    </xdr:from>
    <xdr:to>
      <xdr:col>3</xdr:col>
      <xdr:colOff>85725</xdr:colOff>
      <xdr:row>56</xdr:row>
      <xdr:rowOff>19050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D41"/>
  <sheetViews>
    <sheetView showGridLines="0" tabSelected="1" topLeftCell="A27" workbookViewId="0">
      <selection activeCell="C31" sqref="C31"/>
    </sheetView>
  </sheetViews>
  <sheetFormatPr defaultRowHeight="15" x14ac:dyDescent="0.25"/>
  <cols>
    <col min="1" max="1" width="9.140625" style="36"/>
    <col min="2" max="2" width="41.140625" customWidth="1"/>
    <col min="3" max="3" width="40.140625" customWidth="1"/>
    <col min="4" max="4" width="15" customWidth="1"/>
    <col min="5" max="5" width="25.7109375" bestFit="1" customWidth="1"/>
    <col min="6" max="6" width="12.140625" bestFit="1" customWidth="1"/>
    <col min="7" max="7" width="19.7109375" bestFit="1" customWidth="1"/>
  </cols>
  <sheetData>
    <row r="10" spans="2:4" ht="15.75" thickBot="1" x14ac:dyDescent="0.3"/>
    <row r="11" spans="2:4" ht="21" x14ac:dyDescent="0.25">
      <c r="B11" s="14" t="s">
        <v>13</v>
      </c>
      <c r="C11" s="25"/>
      <c r="D11" s="15"/>
    </row>
    <row r="12" spans="2:4" x14ac:dyDescent="0.25">
      <c r="B12" s="23" t="s">
        <v>14</v>
      </c>
      <c r="C12" s="24"/>
      <c r="D12" s="7">
        <v>4200</v>
      </c>
    </row>
    <row r="13" spans="2:4" x14ac:dyDescent="0.25">
      <c r="B13" s="23" t="s">
        <v>15</v>
      </c>
      <c r="C13" s="24"/>
      <c r="D13" s="6">
        <v>6.0000000000000001E-3</v>
      </c>
    </row>
    <row r="14" spans="2:4" ht="15.75" thickBot="1" x14ac:dyDescent="0.3">
      <c r="B14" s="26" t="s">
        <v>16</v>
      </c>
      <c r="C14" s="27"/>
      <c r="D14" s="8">
        <f>D12*30%</f>
        <v>1260</v>
      </c>
    </row>
    <row r="15" spans="2:4" ht="15.75" thickBot="1" x14ac:dyDescent="0.3"/>
    <row r="16" spans="2:4" ht="25.5" customHeight="1" x14ac:dyDescent="0.25">
      <c r="B16" s="5" t="s">
        <v>5</v>
      </c>
      <c r="C16" s="20"/>
      <c r="D16" s="35"/>
    </row>
    <row r="17" spans="1:4" ht="15.75" x14ac:dyDescent="0.25">
      <c r="B17" s="16" t="s">
        <v>0</v>
      </c>
      <c r="C17" s="17"/>
      <c r="D17" s="9">
        <v>200</v>
      </c>
    </row>
    <row r="18" spans="1:4" ht="15.75" x14ac:dyDescent="0.25">
      <c r="B18" s="16" t="s">
        <v>1</v>
      </c>
      <c r="C18" s="17"/>
      <c r="D18" s="10">
        <v>5</v>
      </c>
    </row>
    <row r="19" spans="1:4" ht="15.75" x14ac:dyDescent="0.25">
      <c r="B19" s="16" t="s">
        <v>2</v>
      </c>
      <c r="C19" s="17"/>
      <c r="D19" s="11">
        <v>1.0789999999999999E-2</v>
      </c>
    </row>
    <row r="20" spans="1:4" ht="15.75" x14ac:dyDescent="0.25">
      <c r="B20" s="18" t="s">
        <v>3</v>
      </c>
      <c r="C20" s="19"/>
      <c r="D20" s="12">
        <f>FV(D19,D18*12,D17)*(-1)</f>
        <v>16755.382799697527</v>
      </c>
    </row>
    <row r="21" spans="1:4" ht="16.5" thickBot="1" x14ac:dyDescent="0.3">
      <c r="B21" s="21" t="s">
        <v>4</v>
      </c>
      <c r="C21" s="22"/>
      <c r="D21" s="13">
        <f>D20*D13</f>
        <v>100.53229679818516</v>
      </c>
    </row>
    <row r="22" spans="1:4" ht="15.75" thickBot="1" x14ac:dyDescent="0.3"/>
    <row r="23" spans="1:4" ht="21" x14ac:dyDescent="0.25">
      <c r="B23" s="3" t="s">
        <v>10</v>
      </c>
      <c r="C23" s="34"/>
      <c r="D23" s="4" t="s">
        <v>12</v>
      </c>
    </row>
    <row r="24" spans="1:4" x14ac:dyDescent="0.25">
      <c r="A24" s="36">
        <v>2</v>
      </c>
      <c r="B24" s="28" t="s">
        <v>6</v>
      </c>
      <c r="C24" s="29">
        <f>FV($D$19,$A24*12,$D$17)*(-1)</f>
        <v>5445.5254595290435</v>
      </c>
      <c r="D24" s="30">
        <f>C24*rendimento_carteira</f>
        <v>32.673152757174265</v>
      </c>
    </row>
    <row r="25" spans="1:4" x14ac:dyDescent="0.25">
      <c r="A25" s="36">
        <v>5</v>
      </c>
      <c r="B25" s="28" t="s">
        <v>7</v>
      </c>
      <c r="C25" s="29">
        <f>FV($D$19,$A25*12,$D$17)*(-1)</f>
        <v>16755.382799697527</v>
      </c>
      <c r="D25" s="30">
        <f>C25*rendimento_carteira</f>
        <v>100.53229679818516</v>
      </c>
    </row>
    <row r="26" spans="1:4" x14ac:dyDescent="0.25">
      <c r="A26" s="36">
        <v>10</v>
      </c>
      <c r="B26" s="28" t="s">
        <v>8</v>
      </c>
      <c r="C26" s="29">
        <f>FV($D$19,$A26*12,$D$17)*(-1)</f>
        <v>48656.842506034438</v>
      </c>
      <c r="D26" s="30">
        <f>C26*rendimento_carteira</f>
        <v>291.94105503620665</v>
      </c>
    </row>
    <row r="27" spans="1:4" x14ac:dyDescent="0.25">
      <c r="A27" s="36">
        <v>20</v>
      </c>
      <c r="B27" s="28" t="s">
        <v>9</v>
      </c>
      <c r="C27" s="29">
        <f>FV($D$19,$A27*12,$D$17)*(-1)</f>
        <v>225039.68001941612</v>
      </c>
      <c r="D27" s="30">
        <f>C27*rendimento_carteira</f>
        <v>1350.2380801164968</v>
      </c>
    </row>
    <row r="28" spans="1:4" ht="15.75" thickBot="1" x14ac:dyDescent="0.3">
      <c r="A28" s="36">
        <v>30</v>
      </c>
      <c r="B28" s="31" t="s">
        <v>11</v>
      </c>
      <c r="C28" s="32">
        <f>FV($D$19,$A28*12,$D$17)*(-1)</f>
        <v>864433.93100094295</v>
      </c>
      <c r="D28" s="33">
        <f>C28*rendimento_carteira</f>
        <v>5186.6035860056581</v>
      </c>
    </row>
    <row r="31" spans="1:4" x14ac:dyDescent="0.25">
      <c r="B31" s="39" t="s">
        <v>17</v>
      </c>
      <c r="C31" s="40" t="s">
        <v>19</v>
      </c>
      <c r="D31" s="37"/>
    </row>
    <row r="32" spans="1:4" x14ac:dyDescent="0.25">
      <c r="B32" s="1" t="s">
        <v>18</v>
      </c>
      <c r="C32" s="38">
        <f>investimento_inicial</f>
        <v>200</v>
      </c>
    </row>
    <row r="34" spans="1:4" x14ac:dyDescent="0.25">
      <c r="B34" s="44" t="s">
        <v>20</v>
      </c>
      <c r="C34" s="44" t="s">
        <v>21</v>
      </c>
      <c r="D34" s="44" t="s">
        <v>22</v>
      </c>
    </row>
    <row r="35" spans="1:4" x14ac:dyDescent="0.25">
      <c r="A35" s="51" t="str">
        <f>$C$31&amp;"-"&amp;B35</f>
        <v>AGRESSIVO-PAPEL</v>
      </c>
      <c r="B35" t="s">
        <v>23</v>
      </c>
      <c r="C35" s="50">
        <f>VLOOKUP(A35,Planilha2!A:D,4,FALSE)</f>
        <v>0.5</v>
      </c>
      <c r="D35" s="41">
        <f>VLOOKUP(A35,Planilha2!A:D,4,0)*$C$32</f>
        <v>100</v>
      </c>
    </row>
    <row r="36" spans="1:4" x14ac:dyDescent="0.25">
      <c r="A36" s="51" t="str">
        <f>$C$31&amp;"-"&amp;B36</f>
        <v>AGRESSIVO-TIJOLO</v>
      </c>
      <c r="B36" t="s">
        <v>24</v>
      </c>
      <c r="C36" s="50">
        <f>VLOOKUP(A36,Planilha2!A:D,4,FALSE)</f>
        <v>0.1</v>
      </c>
      <c r="D36" s="41">
        <f>VLOOKUP(A36,Planilha2!A:D,4,0)*$C$32</f>
        <v>20</v>
      </c>
    </row>
    <row r="37" spans="1:4" x14ac:dyDescent="0.25">
      <c r="A37" s="51" t="str">
        <f>$C$31&amp;"-"&amp;B37</f>
        <v>AGRESSIVO-HIBRIDOS</v>
      </c>
      <c r="B37" t="s">
        <v>25</v>
      </c>
      <c r="C37" s="50">
        <f>VLOOKUP(A37,Planilha2!A:D,4,FALSE)</f>
        <v>0.05</v>
      </c>
      <c r="D37" s="41">
        <f>VLOOKUP(A37,Planilha2!A:D,4,0)*$C$32</f>
        <v>10</v>
      </c>
    </row>
    <row r="38" spans="1:4" x14ac:dyDescent="0.25">
      <c r="A38" s="51" t="str">
        <f>$C$31&amp;"-"&amp;B38</f>
        <v>AGRESSIVO-FOPS</v>
      </c>
      <c r="B38" t="s">
        <v>26</v>
      </c>
      <c r="C38" s="50">
        <f>VLOOKUP(A38,Planilha2!A:D,4,FALSE)</f>
        <v>0.05</v>
      </c>
      <c r="D38" s="41">
        <f>VLOOKUP(A38,Planilha2!A:D,4,0)*$C$32</f>
        <v>10</v>
      </c>
    </row>
    <row r="39" spans="1:4" x14ac:dyDescent="0.25">
      <c r="A39" s="51" t="str">
        <f>$C$31&amp;"-"&amp;B39</f>
        <v>AGRESSIVO-DESENVOLVIMENTO</v>
      </c>
      <c r="B39" t="s">
        <v>27</v>
      </c>
      <c r="C39" s="50">
        <f>VLOOKUP(A39,Planilha2!A:D,4,FALSE)</f>
        <v>0.2</v>
      </c>
      <c r="D39" s="41">
        <f>VLOOKUP(A39,Planilha2!A:D,4,0)*$C$32</f>
        <v>40</v>
      </c>
    </row>
    <row r="40" spans="1:4" x14ac:dyDescent="0.25">
      <c r="A40" s="51" t="str">
        <f>$C$31&amp;"-"&amp;B40</f>
        <v>AGRESSIVO-HOTELARIAS</v>
      </c>
      <c r="B40" t="s">
        <v>28</v>
      </c>
      <c r="C40" s="50">
        <f>VLOOKUP(A40,Planilha2!A:D,4,FALSE)</f>
        <v>0.1</v>
      </c>
      <c r="D40" s="41">
        <f>VLOOKUP(A40,Planilha2!A:D,4,0)*$C$32</f>
        <v>20</v>
      </c>
    </row>
    <row r="41" spans="1:4" x14ac:dyDescent="0.25">
      <c r="B41" s="42"/>
      <c r="C41" s="42"/>
      <c r="D41" s="43">
        <f>SUM(D35:D40)</f>
        <v>200</v>
      </c>
    </row>
  </sheetData>
  <mergeCells count="10">
    <mergeCell ref="B20:C20"/>
    <mergeCell ref="B21:C21"/>
    <mergeCell ref="B11:D11"/>
    <mergeCell ref="B12:C12"/>
    <mergeCell ref="B13:C13"/>
    <mergeCell ref="B14:C14"/>
    <mergeCell ref="B16:D16"/>
    <mergeCell ref="B18:C18"/>
    <mergeCell ref="B17:C17"/>
    <mergeCell ref="B19:C19"/>
  </mergeCells>
  <dataValidations count="1">
    <dataValidation type="list" allowBlank="1" showInputMessage="1" showErrorMessage="1" sqref="C31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>
      <selection activeCell="D13" sqref="D13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</cols>
  <sheetData>
    <row r="2" spans="1:4" x14ac:dyDescent="0.25">
      <c r="A2" t="s">
        <v>31</v>
      </c>
      <c r="B2" t="s">
        <v>17</v>
      </c>
      <c r="C2" s="2" t="s">
        <v>20</v>
      </c>
      <c r="D2" t="s">
        <v>30</v>
      </c>
    </row>
    <row r="3" spans="1:4" x14ac:dyDescent="0.25">
      <c r="A3" t="s">
        <v>32</v>
      </c>
      <c r="B3" t="s">
        <v>29</v>
      </c>
      <c r="C3" s="2" t="s">
        <v>23</v>
      </c>
      <c r="D3" s="45">
        <v>0.3</v>
      </c>
    </row>
    <row r="4" spans="1:4" x14ac:dyDescent="0.25">
      <c r="A4" t="s">
        <v>33</v>
      </c>
      <c r="B4" t="s">
        <v>29</v>
      </c>
      <c r="C4" s="2" t="s">
        <v>24</v>
      </c>
      <c r="D4" s="45">
        <v>0.5</v>
      </c>
    </row>
    <row r="5" spans="1:4" x14ac:dyDescent="0.25">
      <c r="A5" t="s">
        <v>34</v>
      </c>
      <c r="B5" t="s">
        <v>29</v>
      </c>
      <c r="C5" s="2" t="s">
        <v>25</v>
      </c>
      <c r="D5" s="45">
        <v>0.1</v>
      </c>
    </row>
    <row r="6" spans="1:4" x14ac:dyDescent="0.25">
      <c r="A6" t="s">
        <v>35</v>
      </c>
      <c r="B6" t="s">
        <v>29</v>
      </c>
      <c r="C6" s="2" t="s">
        <v>26</v>
      </c>
      <c r="D6" s="45">
        <v>0.1</v>
      </c>
    </row>
    <row r="7" spans="1:4" x14ac:dyDescent="0.25">
      <c r="A7" t="s">
        <v>36</v>
      </c>
      <c r="B7" t="s">
        <v>29</v>
      </c>
      <c r="C7" s="2" t="s">
        <v>27</v>
      </c>
      <c r="D7" s="45">
        <v>0</v>
      </c>
    </row>
    <row r="8" spans="1:4" ht="15.75" thickBot="1" x14ac:dyDescent="0.3">
      <c r="A8" s="46" t="s">
        <v>37</v>
      </c>
      <c r="B8" s="46" t="s">
        <v>29</v>
      </c>
      <c r="C8" s="47" t="s">
        <v>28</v>
      </c>
      <c r="D8" s="48">
        <v>0</v>
      </c>
    </row>
    <row r="9" spans="1:4" x14ac:dyDescent="0.25">
      <c r="A9" t="s">
        <v>39</v>
      </c>
      <c r="B9" t="s">
        <v>38</v>
      </c>
      <c r="C9" s="2" t="s">
        <v>23</v>
      </c>
      <c r="D9" s="49">
        <v>0.32</v>
      </c>
    </row>
    <row r="10" spans="1:4" x14ac:dyDescent="0.25">
      <c r="A10" t="s">
        <v>40</v>
      </c>
      <c r="B10" t="s">
        <v>38</v>
      </c>
      <c r="C10" s="2" t="s">
        <v>24</v>
      </c>
      <c r="D10" s="49">
        <v>0.35</v>
      </c>
    </row>
    <row r="11" spans="1:4" x14ac:dyDescent="0.25">
      <c r="A11" t="s">
        <v>41</v>
      </c>
      <c r="B11" t="s">
        <v>38</v>
      </c>
      <c r="C11" s="2" t="s">
        <v>25</v>
      </c>
      <c r="D11" s="49">
        <v>0.08</v>
      </c>
    </row>
    <row r="12" spans="1:4" x14ac:dyDescent="0.25">
      <c r="A12" t="s">
        <v>42</v>
      </c>
      <c r="B12" t="s">
        <v>38</v>
      </c>
      <c r="C12" s="2" t="s">
        <v>26</v>
      </c>
      <c r="D12" s="49">
        <v>0.05</v>
      </c>
    </row>
    <row r="13" spans="1:4" x14ac:dyDescent="0.25">
      <c r="A13" t="s">
        <v>43</v>
      </c>
      <c r="B13" t="s">
        <v>38</v>
      </c>
      <c r="C13" s="2" t="s">
        <v>27</v>
      </c>
      <c r="D13" s="49">
        <v>0.1</v>
      </c>
    </row>
    <row r="14" spans="1:4" ht="15.75" thickBot="1" x14ac:dyDescent="0.3">
      <c r="A14" s="46" t="s">
        <v>44</v>
      </c>
      <c r="B14" s="46" t="s">
        <v>38</v>
      </c>
      <c r="C14" s="47" t="s">
        <v>28</v>
      </c>
      <c r="D14" s="48">
        <v>0.1</v>
      </c>
    </row>
    <row r="15" spans="1:4" x14ac:dyDescent="0.25">
      <c r="A15" t="s">
        <v>45</v>
      </c>
      <c r="B15" t="s">
        <v>19</v>
      </c>
      <c r="C15" s="2" t="s">
        <v>23</v>
      </c>
      <c r="D15" s="49">
        <v>0.5</v>
      </c>
    </row>
    <row r="16" spans="1:4" x14ac:dyDescent="0.25">
      <c r="A16" t="s">
        <v>46</v>
      </c>
      <c r="B16" t="s">
        <v>19</v>
      </c>
      <c r="C16" s="2" t="s">
        <v>24</v>
      </c>
      <c r="D16" s="49">
        <v>0.1</v>
      </c>
    </row>
    <row r="17" spans="1:4" x14ac:dyDescent="0.25">
      <c r="A17" t="s">
        <v>47</v>
      </c>
      <c r="B17" t="s">
        <v>19</v>
      </c>
      <c r="C17" s="2" t="s">
        <v>25</v>
      </c>
      <c r="D17" s="49">
        <v>0.05</v>
      </c>
    </row>
    <row r="18" spans="1:4" x14ac:dyDescent="0.25">
      <c r="A18" t="s">
        <v>48</v>
      </c>
      <c r="B18" t="s">
        <v>19</v>
      </c>
      <c r="C18" s="2" t="s">
        <v>26</v>
      </c>
      <c r="D18" s="49">
        <v>0.05</v>
      </c>
    </row>
    <row r="19" spans="1:4" x14ac:dyDescent="0.25">
      <c r="A19" t="s">
        <v>49</v>
      </c>
      <c r="B19" t="s">
        <v>19</v>
      </c>
      <c r="C19" s="2" t="s">
        <v>27</v>
      </c>
      <c r="D19" s="49">
        <v>0.2</v>
      </c>
    </row>
    <row r="20" spans="1:4" x14ac:dyDescent="0.25">
      <c r="A20" t="s">
        <v>50</v>
      </c>
      <c r="B20" t="s">
        <v>19</v>
      </c>
      <c r="C20" s="2" t="s">
        <v>28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dividendos</vt:lpstr>
      <vt:lpstr>investimento_inicial</vt:lpstr>
      <vt:lpstr>periodo</vt:lpstr>
      <vt:lpstr>período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Ítalo Viana de Carvalho</dc:creator>
  <cp:lastModifiedBy>Ítalo Viana de Carvalho</cp:lastModifiedBy>
  <dcterms:created xsi:type="dcterms:W3CDTF">2026-09-29T20:31:52Z</dcterms:created>
  <dcterms:modified xsi:type="dcterms:W3CDTF">2026-09-30T22:19:36Z</dcterms:modified>
</cp:coreProperties>
</file>